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cordeir/Dropbox/academic/cursos/cursos-davi/predictive_analytics/2025F_predictive_analytics_purdue_MGMT474/_adm_stuff/_course_case_competition/final_leaderboard/"/>
    </mc:Choice>
  </mc:AlternateContent>
  <xr:revisionPtr revIDLastSave="0" documentId="13_ncr:1_{54BE9BB4-55AD-E049-920B-504EBF9A750A}" xr6:coauthVersionLast="47" xr6:coauthVersionMax="47" xr10:uidLastSave="{00000000-0000-0000-0000-000000000000}"/>
  <bookViews>
    <workbookView xWindow="0" yWindow="740" windowWidth="30240" windowHeight="18900" xr2:uid="{146037DB-EE51-B44D-8C37-3DA7EACF053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2" i="1"/>
  <c r="E2" i="1" s="1"/>
  <c r="G7" i="1"/>
  <c r="G8" i="1"/>
  <c r="G9" i="1"/>
  <c r="G10" i="1"/>
  <c r="G18" i="1"/>
  <c r="G33" i="1"/>
  <c r="G34" i="1"/>
  <c r="F3" i="1"/>
  <c r="G3" i="1" s="1"/>
  <c r="F4" i="1"/>
  <c r="G4" i="1" s="1"/>
  <c r="F5" i="1"/>
  <c r="G5" i="1" s="1"/>
  <c r="F6" i="1"/>
  <c r="G6" i="1" s="1"/>
  <c r="F7" i="1"/>
  <c r="F8" i="1"/>
  <c r="F9" i="1"/>
  <c r="F10" i="1"/>
  <c r="F11" i="1"/>
  <c r="G11" i="1" s="1"/>
  <c r="F12" i="1"/>
  <c r="G12" i="1" s="1"/>
  <c r="F13" i="1"/>
  <c r="G13" i="1" s="1"/>
  <c r="F14" i="1"/>
  <c r="G14" i="1" s="1"/>
  <c r="F15" i="1"/>
  <c r="G15" i="1" s="1"/>
  <c r="F16" i="1"/>
  <c r="G16" i="1" s="1"/>
  <c r="F17" i="1"/>
  <c r="G17" i="1" s="1"/>
  <c r="F18" i="1"/>
  <c r="F19" i="1"/>
  <c r="G19" i="1" s="1"/>
  <c r="F20" i="1"/>
  <c r="G20" i="1" s="1"/>
  <c r="F21" i="1"/>
  <c r="G21" i="1" s="1"/>
  <c r="F22" i="1"/>
  <c r="G22" i="1" s="1"/>
  <c r="F23" i="1"/>
  <c r="G23" i="1" s="1"/>
  <c r="F24" i="1"/>
  <c r="G24" i="1" s="1"/>
  <c r="F25" i="1"/>
  <c r="G25" i="1" s="1"/>
  <c r="F26" i="1"/>
  <c r="G26" i="1" s="1"/>
  <c r="F27" i="1"/>
  <c r="G27" i="1" s="1"/>
  <c r="F28" i="1"/>
  <c r="G28" i="1" s="1"/>
  <c r="F29" i="1"/>
  <c r="G29" i="1" s="1"/>
  <c r="F30" i="1"/>
  <c r="G30" i="1" s="1"/>
  <c r="F31" i="1"/>
  <c r="G31" i="1" s="1"/>
  <c r="F32" i="1"/>
  <c r="G32" i="1" s="1"/>
  <c r="F33" i="1"/>
  <c r="F34" i="1"/>
  <c r="F2" i="1"/>
  <c r="G2" i="1" s="1"/>
  <c r="H26" i="1"/>
  <c r="I26" i="1" s="1"/>
  <c r="H3" i="1"/>
  <c r="I3" i="1" s="1"/>
  <c r="H4" i="1"/>
  <c r="I4" i="1" s="1"/>
  <c r="H5" i="1"/>
  <c r="I5" i="1" s="1"/>
  <c r="H6" i="1"/>
  <c r="I6" i="1" s="1"/>
  <c r="H7" i="1"/>
  <c r="I7" i="1" s="1"/>
  <c r="H8" i="1"/>
  <c r="I8" i="1" s="1"/>
  <c r="H9" i="1"/>
  <c r="I9" i="1" s="1"/>
  <c r="H10" i="1"/>
  <c r="I10" i="1" s="1"/>
  <c r="H11" i="1"/>
  <c r="I11" i="1" s="1"/>
  <c r="H12" i="1"/>
  <c r="I12" i="1" s="1"/>
  <c r="H13" i="1"/>
  <c r="I13" i="1" s="1"/>
  <c r="H14" i="1"/>
  <c r="I14" i="1" s="1"/>
  <c r="H15" i="1"/>
  <c r="I15" i="1" s="1"/>
  <c r="H16" i="1"/>
  <c r="I16" i="1" s="1"/>
  <c r="H17" i="1"/>
  <c r="I17" i="1" s="1"/>
  <c r="H18" i="1"/>
  <c r="I18" i="1" s="1"/>
  <c r="H19" i="1"/>
  <c r="I19" i="1" s="1"/>
  <c r="H20" i="1"/>
  <c r="I20" i="1" s="1"/>
  <c r="H21" i="1"/>
  <c r="I21" i="1" s="1"/>
  <c r="H22" i="1"/>
  <c r="I22" i="1" s="1"/>
  <c r="H23" i="1"/>
  <c r="I23" i="1" s="1"/>
  <c r="H24" i="1"/>
  <c r="I24" i="1" s="1"/>
  <c r="H25" i="1"/>
  <c r="I25" i="1" s="1"/>
  <c r="H27" i="1"/>
  <c r="I27" i="1" s="1"/>
  <c r="H28" i="1"/>
  <c r="I28" i="1" s="1"/>
  <c r="H29" i="1"/>
  <c r="I29" i="1" s="1"/>
  <c r="H30" i="1"/>
  <c r="I30" i="1" s="1"/>
  <c r="H31" i="1"/>
  <c r="I31" i="1" s="1"/>
  <c r="H32" i="1"/>
  <c r="I32" i="1" s="1"/>
  <c r="H33" i="1"/>
  <c r="I33" i="1" s="1"/>
  <c r="H34" i="1"/>
  <c r="I34" i="1" s="1"/>
  <c r="H2" i="1"/>
  <c r="I2" i="1" s="1"/>
</calcChain>
</file>

<file path=xl/sharedStrings.xml><?xml version="1.0" encoding="utf-8"?>
<sst xmlns="http://schemas.openxmlformats.org/spreadsheetml/2006/main" count="9" uniqueCount="6">
  <si>
    <t>Rank</t>
  </si>
  <si>
    <t>TeamId</t>
  </si>
  <si>
    <t>Score</t>
  </si>
  <si>
    <t>final_score</t>
  </si>
  <si>
    <t>grade_perc</t>
  </si>
  <si>
    <t>final_score_min_half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</si>
</sst>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000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09DDED-CEFF-2942-ABFB-2095381D74C5}">
  <dimension ref="A1:I34"/>
  <sheetViews>
    <sheetView tabSelected="1" workbookViewId="0">
      <selection activeCell="T22" sqref="T22"/>
    </sheetView>
  </sheetViews>
  <sheetFormatPr baseColWidth="10" defaultRowHeight="16" x14ac:dyDescent="0.2"/>
  <cols>
    <col min="6" max="6" width="17.83203125" bestFit="1" customWidth="1"/>
    <col min="7" max="7" width="12.1640625" bestFit="1" customWidth="1"/>
    <col min="8" max="8" width="10" bestFit="1" customWidth="1"/>
    <col min="9" max="9" width="12.1640625" bestFit="1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5</v>
      </c>
      <c r="E1" t="s">
        <v>4</v>
      </c>
      <c r="F1" t="s">
        <v>5</v>
      </c>
      <c r="G1" t="s">
        <v>4</v>
      </c>
      <c r="H1" t="s">
        <v>3</v>
      </c>
      <c r="I1" t="s">
        <v>4</v>
      </c>
    </row>
    <row r="2" spans="1:9" x14ac:dyDescent="0.2">
      <c r="A2">
        <v>1</v>
      </c>
      <c r="B2">
        <v>14400543</v>
      </c>
      <c r="C2">
        <v>0.94059000000000004</v>
      </c>
      <c r="D2" s="1">
        <f>((C2-0.5)/(1-0.5))</f>
        <v>0.88118000000000007</v>
      </c>
      <c r="E2">
        <f>D2*0.6</f>
        <v>0.52870800000000007</v>
      </c>
      <c r="F2" s="1">
        <f>((C2-0.5)/(MAX($C$2:$C$34)-0.5))</f>
        <v>1</v>
      </c>
      <c r="G2">
        <f>F2*0.6</f>
        <v>0.6</v>
      </c>
      <c r="H2" s="1">
        <f>((C2-MIN($C$2:$C$34))/(MAX($C$2:$C$34)-MIN($C$2:$C$34)))</f>
        <v>1</v>
      </c>
      <c r="I2">
        <f>H2*0.6</f>
        <v>0.6</v>
      </c>
    </row>
    <row r="3" spans="1:9" x14ac:dyDescent="0.2">
      <c r="A3">
        <v>2</v>
      </c>
      <c r="B3">
        <v>14400576</v>
      </c>
      <c r="C3">
        <v>0.94055999999999995</v>
      </c>
      <c r="D3" s="1">
        <f t="shared" ref="D3:D34" si="0">((C3-0.5)/(1-0.5))</f>
        <v>0.8811199999999999</v>
      </c>
      <c r="E3">
        <f t="shared" ref="E3:E34" si="1">D3*0.6</f>
        <v>0.52867199999999992</v>
      </c>
      <c r="F3" s="1">
        <f t="shared" ref="F3:F34" si="2">((C3-0.5)/(MAX($C$2:$C$34)-0.5))</f>
        <v>0.99993190948500854</v>
      </c>
      <c r="G3">
        <f t="shared" ref="G3:G34" si="3">F3*0.6</f>
        <v>0.59995914569100506</v>
      </c>
      <c r="H3" s="1">
        <f>((C3-MIN($C$2:$C$34))/(MAX($C$2:$C$34)-MIN($C$2:$C$34)))</f>
        <v>0.99946419003393305</v>
      </c>
      <c r="I3">
        <f t="shared" ref="I3:I34" si="4">H3*0.6</f>
        <v>0.59967851402035977</v>
      </c>
    </row>
    <row r="4" spans="1:9" x14ac:dyDescent="0.2">
      <c r="A4">
        <v>3</v>
      </c>
      <c r="B4">
        <v>14401681</v>
      </c>
      <c r="C4">
        <v>0.94055</v>
      </c>
      <c r="D4" s="1">
        <f t="shared" si="0"/>
        <v>0.88109999999999999</v>
      </c>
      <c r="E4">
        <f t="shared" si="1"/>
        <v>0.52866000000000002</v>
      </c>
      <c r="F4" s="1">
        <f t="shared" si="2"/>
        <v>0.9999092126466782</v>
      </c>
      <c r="G4">
        <f t="shared" si="3"/>
        <v>0.5999455275880069</v>
      </c>
      <c r="H4" s="1">
        <f>((C4-MIN($C$2:$C$34))/(MAX($C$2:$C$34)-MIN($C$2:$C$34)))</f>
        <v>0.99928558671191214</v>
      </c>
      <c r="I4">
        <f t="shared" si="4"/>
        <v>0.59957135202714729</v>
      </c>
    </row>
    <row r="5" spans="1:9" x14ac:dyDescent="0.2">
      <c r="A5">
        <v>4</v>
      </c>
      <c r="B5">
        <v>14401988</v>
      </c>
      <c r="C5">
        <v>0.94047999999999998</v>
      </c>
      <c r="D5" s="1">
        <f t="shared" si="0"/>
        <v>0.88095999999999997</v>
      </c>
      <c r="E5">
        <f t="shared" si="1"/>
        <v>0.52857599999999993</v>
      </c>
      <c r="F5" s="1">
        <f t="shared" si="2"/>
        <v>0.99975033477836528</v>
      </c>
      <c r="G5">
        <f t="shared" si="3"/>
        <v>0.59985020086701912</v>
      </c>
      <c r="H5" s="1">
        <f>((C5-MIN($C$2:$C$34))/(MAX($C$2:$C$34)-MIN($C$2:$C$34)))</f>
        <v>0.99803536345775934</v>
      </c>
      <c r="I5">
        <f t="shared" si="4"/>
        <v>0.5988212180746556</v>
      </c>
    </row>
    <row r="6" spans="1:9" x14ac:dyDescent="0.2">
      <c r="A6">
        <v>5</v>
      </c>
      <c r="B6">
        <v>14401702</v>
      </c>
      <c r="C6">
        <v>0.94037000000000004</v>
      </c>
      <c r="D6" s="1">
        <f t="shared" si="0"/>
        <v>0.88074000000000008</v>
      </c>
      <c r="E6">
        <f t="shared" si="1"/>
        <v>0.52844400000000002</v>
      </c>
      <c r="F6" s="1">
        <f t="shared" si="2"/>
        <v>0.99950066955673078</v>
      </c>
      <c r="G6">
        <f t="shared" si="3"/>
        <v>0.59970040173403849</v>
      </c>
      <c r="H6" s="1">
        <f>((C6-MIN($C$2:$C$34))/(MAX($C$2:$C$34)-MIN($C$2:$C$34)))</f>
        <v>0.99607072691552068</v>
      </c>
      <c r="I6">
        <f t="shared" si="4"/>
        <v>0.59764243614931234</v>
      </c>
    </row>
    <row r="7" spans="1:9" x14ac:dyDescent="0.2">
      <c r="A7">
        <v>6</v>
      </c>
      <c r="B7">
        <v>14400566</v>
      </c>
      <c r="C7">
        <v>0.94028999999999996</v>
      </c>
      <c r="D7" s="1">
        <f t="shared" si="0"/>
        <v>0.88057999999999992</v>
      </c>
      <c r="E7">
        <f t="shared" si="1"/>
        <v>0.52834799999999993</v>
      </c>
      <c r="F7" s="1">
        <f t="shared" si="2"/>
        <v>0.99931909485008719</v>
      </c>
      <c r="G7">
        <f t="shared" si="3"/>
        <v>0.59959145691005233</v>
      </c>
      <c r="H7" s="1">
        <f>((C7-MIN($C$2:$C$34))/(MAX($C$2:$C$34)-MIN($C$2:$C$34)))</f>
        <v>0.99464190033934496</v>
      </c>
      <c r="I7">
        <f t="shared" si="4"/>
        <v>0.59678514020360696</v>
      </c>
    </row>
    <row r="8" spans="1:9" x14ac:dyDescent="0.2">
      <c r="A8">
        <v>7</v>
      </c>
      <c r="B8">
        <v>14400568</v>
      </c>
      <c r="C8">
        <v>0.94023999999999996</v>
      </c>
      <c r="D8" s="1">
        <f t="shared" si="0"/>
        <v>0.88047999999999993</v>
      </c>
      <c r="E8">
        <f t="shared" si="1"/>
        <v>0.52828799999999998</v>
      </c>
      <c r="F8" s="1">
        <f t="shared" si="2"/>
        <v>0.99920561065843516</v>
      </c>
      <c r="G8">
        <f t="shared" si="3"/>
        <v>0.5995233663950611</v>
      </c>
      <c r="H8" s="1">
        <f>((C8-MIN($C$2:$C$34))/(MAX($C$2:$C$34)-MIN($C$2:$C$34)))</f>
        <v>0.99374888372923609</v>
      </c>
      <c r="I8">
        <f t="shared" si="4"/>
        <v>0.59624933023754167</v>
      </c>
    </row>
    <row r="9" spans="1:9" x14ac:dyDescent="0.2">
      <c r="A9">
        <v>8</v>
      </c>
      <c r="B9">
        <v>14401837</v>
      </c>
      <c r="C9">
        <v>0.93984000000000001</v>
      </c>
      <c r="D9" s="1">
        <f t="shared" si="0"/>
        <v>0.87968000000000002</v>
      </c>
      <c r="E9">
        <f t="shared" si="1"/>
        <v>0.52780799999999994</v>
      </c>
      <c r="F9" s="1">
        <f t="shared" si="2"/>
        <v>0.99829773712521841</v>
      </c>
      <c r="G9">
        <f t="shared" si="3"/>
        <v>0.59897864227513098</v>
      </c>
      <c r="H9" s="1">
        <f>((C9-MIN($C$2:$C$34))/(MAX($C$2:$C$34)-MIN($C$2:$C$34)))</f>
        <v>0.9866047508483653</v>
      </c>
      <c r="I9">
        <f t="shared" si="4"/>
        <v>0.5919628505090192</v>
      </c>
    </row>
    <row r="10" spans="1:9" x14ac:dyDescent="0.2">
      <c r="A10">
        <v>9</v>
      </c>
      <c r="B10">
        <v>14401973</v>
      </c>
      <c r="C10">
        <v>0.93967999999999996</v>
      </c>
      <c r="D10" s="1">
        <f t="shared" si="0"/>
        <v>0.87935999999999992</v>
      </c>
      <c r="E10">
        <f t="shared" si="1"/>
        <v>0.52761599999999997</v>
      </c>
      <c r="F10" s="1">
        <f t="shared" si="2"/>
        <v>0.99793458771193155</v>
      </c>
      <c r="G10">
        <f t="shared" si="3"/>
        <v>0.59876075262715889</v>
      </c>
      <c r="H10" s="1">
        <f>((C10-MIN($C$2:$C$34))/(MAX($C$2:$C$34)-MIN($C$2:$C$34)))</f>
        <v>0.98374709769601576</v>
      </c>
      <c r="I10">
        <f t="shared" si="4"/>
        <v>0.59024825861760943</v>
      </c>
    </row>
    <row r="11" spans="1:9" x14ac:dyDescent="0.2">
      <c r="A11">
        <v>10</v>
      </c>
      <c r="B11">
        <v>14401882</v>
      </c>
      <c r="C11">
        <v>0.93964999999999999</v>
      </c>
      <c r="D11" s="1">
        <f t="shared" si="0"/>
        <v>0.87929999999999997</v>
      </c>
      <c r="E11">
        <f t="shared" si="1"/>
        <v>0.52757999999999994</v>
      </c>
      <c r="F11" s="1">
        <f t="shared" si="2"/>
        <v>0.99786649719694032</v>
      </c>
      <c r="G11">
        <f t="shared" si="3"/>
        <v>0.59871989831816419</v>
      </c>
      <c r="H11" s="1">
        <f>((C11-MIN($C$2:$C$34))/(MAX($C$2:$C$34)-MIN($C$2:$C$34)))</f>
        <v>0.98321128772995081</v>
      </c>
      <c r="I11">
        <f t="shared" si="4"/>
        <v>0.58992677263797044</v>
      </c>
    </row>
    <row r="12" spans="1:9" x14ac:dyDescent="0.2">
      <c r="A12">
        <v>11</v>
      </c>
      <c r="B12">
        <v>14401622</v>
      </c>
      <c r="C12">
        <v>0.93960999999999995</v>
      </c>
      <c r="D12" s="1">
        <f t="shared" si="0"/>
        <v>0.87921999999999989</v>
      </c>
      <c r="E12">
        <f t="shared" si="1"/>
        <v>0.52753199999999989</v>
      </c>
      <c r="F12" s="1">
        <f t="shared" si="2"/>
        <v>0.99777570984361863</v>
      </c>
      <c r="G12">
        <f t="shared" si="3"/>
        <v>0.59866542590617111</v>
      </c>
      <c r="H12" s="1">
        <f>((C12-MIN($C$2:$C$34))/(MAX($C$2:$C$34)-MIN($C$2:$C$34)))</f>
        <v>0.98249687444186296</v>
      </c>
      <c r="I12">
        <f t="shared" si="4"/>
        <v>0.58949812466511775</v>
      </c>
    </row>
    <row r="13" spans="1:9" x14ac:dyDescent="0.2">
      <c r="A13">
        <v>12</v>
      </c>
      <c r="B13">
        <v>14401981</v>
      </c>
      <c r="C13">
        <v>0.93944000000000005</v>
      </c>
      <c r="D13" s="1">
        <f t="shared" si="0"/>
        <v>0.87888000000000011</v>
      </c>
      <c r="E13">
        <f t="shared" si="1"/>
        <v>0.52732800000000002</v>
      </c>
      <c r="F13" s="1">
        <f t="shared" si="2"/>
        <v>0.99738986359200166</v>
      </c>
      <c r="G13">
        <f t="shared" si="3"/>
        <v>0.59843391815520097</v>
      </c>
      <c r="H13" s="1">
        <f>((C13-MIN($C$2:$C$34))/(MAX($C$2:$C$34)-MIN($C$2:$C$34)))</f>
        <v>0.97946061796749451</v>
      </c>
      <c r="I13">
        <f t="shared" si="4"/>
        <v>0.58767637078049673</v>
      </c>
    </row>
    <row r="14" spans="1:9" x14ac:dyDescent="0.2">
      <c r="A14">
        <v>13</v>
      </c>
      <c r="B14">
        <v>14401662</v>
      </c>
      <c r="C14">
        <v>0.93940000000000001</v>
      </c>
      <c r="D14" s="1">
        <f t="shared" si="0"/>
        <v>0.87880000000000003</v>
      </c>
      <c r="E14">
        <f t="shared" si="1"/>
        <v>0.52727999999999997</v>
      </c>
      <c r="F14" s="1">
        <f t="shared" si="2"/>
        <v>0.99729907623867986</v>
      </c>
      <c r="G14">
        <f t="shared" si="3"/>
        <v>0.59837944574320789</v>
      </c>
      <c r="H14" s="1">
        <f>((C14-MIN($C$2:$C$34))/(MAX($C$2:$C$34)-MIN($C$2:$C$34)))</f>
        <v>0.97874620467940665</v>
      </c>
      <c r="I14">
        <f t="shared" si="4"/>
        <v>0.58724772280764392</v>
      </c>
    </row>
    <row r="15" spans="1:9" x14ac:dyDescent="0.2">
      <c r="A15">
        <v>14</v>
      </c>
      <c r="B15">
        <v>14400529</v>
      </c>
      <c r="C15">
        <v>0.93940000000000001</v>
      </c>
      <c r="D15" s="1">
        <f t="shared" si="0"/>
        <v>0.87880000000000003</v>
      </c>
      <c r="E15">
        <f t="shared" si="1"/>
        <v>0.52727999999999997</v>
      </c>
      <c r="F15" s="1">
        <f t="shared" si="2"/>
        <v>0.99729907623867986</v>
      </c>
      <c r="G15">
        <f t="shared" si="3"/>
        <v>0.59837944574320789</v>
      </c>
      <c r="H15" s="1">
        <f>((C15-MIN($C$2:$C$34))/(MAX($C$2:$C$34)-MIN($C$2:$C$34)))</f>
        <v>0.97874620467940665</v>
      </c>
      <c r="I15">
        <f t="shared" si="4"/>
        <v>0.58724772280764392</v>
      </c>
    </row>
    <row r="16" spans="1:9" x14ac:dyDescent="0.2">
      <c r="A16">
        <v>15</v>
      </c>
      <c r="B16">
        <v>14400570</v>
      </c>
      <c r="C16">
        <v>0.93933</v>
      </c>
      <c r="D16" s="1">
        <f t="shared" si="0"/>
        <v>0.87866</v>
      </c>
      <c r="E16">
        <f t="shared" si="1"/>
        <v>0.527196</v>
      </c>
      <c r="F16" s="1">
        <f t="shared" si="2"/>
        <v>0.99714019837036694</v>
      </c>
      <c r="G16">
        <f t="shared" si="3"/>
        <v>0.59828411902222012</v>
      </c>
      <c r="H16" s="1">
        <f>((C16-MIN($C$2:$C$34))/(MAX($C$2:$C$34)-MIN($C$2:$C$34)))</f>
        <v>0.97749598142525385</v>
      </c>
      <c r="I16">
        <f t="shared" si="4"/>
        <v>0.58649758885515224</v>
      </c>
    </row>
    <row r="17" spans="1:9" x14ac:dyDescent="0.2">
      <c r="A17">
        <v>16</v>
      </c>
      <c r="B17">
        <v>14401992</v>
      </c>
      <c r="C17">
        <v>0.93930999999999998</v>
      </c>
      <c r="D17" s="1">
        <f t="shared" si="0"/>
        <v>0.87861999999999996</v>
      </c>
      <c r="E17">
        <f t="shared" si="1"/>
        <v>0.52717199999999997</v>
      </c>
      <c r="F17" s="1">
        <f t="shared" si="2"/>
        <v>0.99709480469370604</v>
      </c>
      <c r="G17">
        <f t="shared" si="3"/>
        <v>0.59825688281622358</v>
      </c>
      <c r="H17" s="1">
        <f>((C17-MIN($C$2:$C$34))/(MAX($C$2:$C$34)-MIN($C$2:$C$34)))</f>
        <v>0.97713877478120992</v>
      </c>
      <c r="I17">
        <f t="shared" si="4"/>
        <v>0.58628326486872595</v>
      </c>
    </row>
    <row r="18" spans="1:9" x14ac:dyDescent="0.2">
      <c r="A18">
        <v>17</v>
      </c>
      <c r="B18">
        <v>14401698</v>
      </c>
      <c r="C18">
        <v>0.93903000000000003</v>
      </c>
      <c r="D18" s="1">
        <f t="shared" si="0"/>
        <v>0.87806000000000006</v>
      </c>
      <c r="E18">
        <f t="shared" si="1"/>
        <v>0.52683599999999997</v>
      </c>
      <c r="F18" s="1">
        <f t="shared" si="2"/>
        <v>0.99645929322045435</v>
      </c>
      <c r="G18">
        <f t="shared" si="3"/>
        <v>0.59787557593227258</v>
      </c>
      <c r="H18" s="1">
        <f>((C18-MIN($C$2:$C$34))/(MAX($C$2:$C$34)-MIN($C$2:$C$34)))</f>
        <v>0.9721378817646007</v>
      </c>
      <c r="I18">
        <f t="shared" si="4"/>
        <v>0.58328272905876044</v>
      </c>
    </row>
    <row r="19" spans="1:9" x14ac:dyDescent="0.2">
      <c r="A19">
        <v>18</v>
      </c>
      <c r="B19">
        <v>14401722</v>
      </c>
      <c r="C19">
        <v>0.93903000000000003</v>
      </c>
      <c r="D19" s="1">
        <f t="shared" si="0"/>
        <v>0.87806000000000006</v>
      </c>
      <c r="E19">
        <f t="shared" si="1"/>
        <v>0.52683599999999997</v>
      </c>
      <c r="F19" s="1">
        <f t="shared" si="2"/>
        <v>0.99645929322045435</v>
      </c>
      <c r="G19">
        <f t="shared" si="3"/>
        <v>0.59787557593227258</v>
      </c>
      <c r="H19" s="1">
        <f>((C19-MIN($C$2:$C$34))/(MAX($C$2:$C$34)-MIN($C$2:$C$34)))</f>
        <v>0.9721378817646007</v>
      </c>
      <c r="I19">
        <f t="shared" si="4"/>
        <v>0.58328272905876044</v>
      </c>
    </row>
    <row r="20" spans="1:9" x14ac:dyDescent="0.2">
      <c r="A20">
        <v>19</v>
      </c>
      <c r="B20">
        <v>14401934</v>
      </c>
      <c r="C20">
        <v>0.93888000000000005</v>
      </c>
      <c r="D20" s="1">
        <f t="shared" si="0"/>
        <v>0.8777600000000001</v>
      </c>
      <c r="E20">
        <f t="shared" si="1"/>
        <v>0.52665600000000001</v>
      </c>
      <c r="F20" s="1">
        <f t="shared" si="2"/>
        <v>0.99611884064549816</v>
      </c>
      <c r="G20">
        <f t="shared" si="3"/>
        <v>0.59767130438729887</v>
      </c>
      <c r="H20" s="1">
        <f>((C20-MIN($C$2:$C$34))/(MAX($C$2:$C$34)-MIN($C$2:$C$34)))</f>
        <v>0.96945883193427418</v>
      </c>
      <c r="I20">
        <f t="shared" si="4"/>
        <v>0.58167529916056449</v>
      </c>
    </row>
    <row r="21" spans="1:9" x14ac:dyDescent="0.2">
      <c r="A21">
        <v>20</v>
      </c>
      <c r="B21">
        <v>14401656</v>
      </c>
      <c r="C21">
        <v>0.93872999999999995</v>
      </c>
      <c r="D21" s="1">
        <f t="shared" si="0"/>
        <v>0.87745999999999991</v>
      </c>
      <c r="E21">
        <f t="shared" si="1"/>
        <v>0.52647599999999994</v>
      </c>
      <c r="F21" s="1">
        <f t="shared" si="2"/>
        <v>0.99577838807054153</v>
      </c>
      <c r="G21">
        <f t="shared" si="3"/>
        <v>0.59746703284232494</v>
      </c>
      <c r="H21" s="1">
        <f>((C21-MIN($C$2:$C$34))/(MAX($C$2:$C$34)-MIN($C$2:$C$34)))</f>
        <v>0.96677978210394566</v>
      </c>
      <c r="I21">
        <f t="shared" si="4"/>
        <v>0.58006786926236742</v>
      </c>
    </row>
    <row r="22" spans="1:9" x14ac:dyDescent="0.2">
      <c r="A22">
        <v>21</v>
      </c>
      <c r="B22">
        <v>14400593</v>
      </c>
      <c r="C22">
        <v>0.93871000000000004</v>
      </c>
      <c r="D22" s="1">
        <f t="shared" si="0"/>
        <v>0.87742000000000009</v>
      </c>
      <c r="E22">
        <f t="shared" si="1"/>
        <v>0.52645200000000003</v>
      </c>
      <c r="F22" s="1">
        <f t="shared" si="2"/>
        <v>0.99573299439388097</v>
      </c>
      <c r="G22">
        <f t="shared" si="3"/>
        <v>0.59743979663632851</v>
      </c>
      <c r="H22" s="1">
        <f>((C22-MIN($C$2:$C$34))/(MAX($C$2:$C$34)-MIN($C$2:$C$34)))</f>
        <v>0.96642257545990362</v>
      </c>
      <c r="I22">
        <f t="shared" si="4"/>
        <v>0.57985354527594213</v>
      </c>
    </row>
    <row r="23" spans="1:9" x14ac:dyDescent="0.2">
      <c r="A23">
        <v>22</v>
      </c>
      <c r="B23">
        <v>14401754</v>
      </c>
      <c r="C23">
        <v>0.93859000000000004</v>
      </c>
      <c r="D23" s="1">
        <f t="shared" si="0"/>
        <v>0.87718000000000007</v>
      </c>
      <c r="E23">
        <f t="shared" si="1"/>
        <v>0.526308</v>
      </c>
      <c r="F23" s="1">
        <f t="shared" si="2"/>
        <v>0.99546063233391591</v>
      </c>
      <c r="G23">
        <f t="shared" si="3"/>
        <v>0.5972763794003495</v>
      </c>
      <c r="H23" s="1">
        <f>((C23-MIN($C$2:$C$34))/(MAX($C$2:$C$34)-MIN($C$2:$C$34)))</f>
        <v>0.96427933559564205</v>
      </c>
      <c r="I23">
        <f t="shared" si="4"/>
        <v>0.57856760135738516</v>
      </c>
    </row>
    <row r="24" spans="1:9" x14ac:dyDescent="0.2">
      <c r="A24">
        <v>23</v>
      </c>
      <c r="B24">
        <v>14401669</v>
      </c>
      <c r="C24">
        <v>0.93849000000000005</v>
      </c>
      <c r="D24" s="1">
        <f t="shared" si="0"/>
        <v>0.87698000000000009</v>
      </c>
      <c r="E24">
        <f t="shared" si="1"/>
        <v>0.52618799999999999</v>
      </c>
      <c r="F24" s="1">
        <f t="shared" si="2"/>
        <v>0.99523366395061175</v>
      </c>
      <c r="G24">
        <f t="shared" si="3"/>
        <v>0.59714019837036703</v>
      </c>
      <c r="H24" s="1">
        <f>((C24-MIN($C$2:$C$34))/(MAX($C$2:$C$34)-MIN($C$2:$C$34)))</f>
        <v>0.9624933023754243</v>
      </c>
      <c r="I24">
        <f t="shared" si="4"/>
        <v>0.5774959814252546</v>
      </c>
    </row>
    <row r="25" spans="1:9" x14ac:dyDescent="0.2">
      <c r="A25">
        <v>24</v>
      </c>
      <c r="B25">
        <v>14400499</v>
      </c>
      <c r="C25">
        <v>0.93838999999999995</v>
      </c>
      <c r="D25" s="1">
        <f t="shared" si="0"/>
        <v>0.87677999999999989</v>
      </c>
      <c r="E25">
        <f t="shared" si="1"/>
        <v>0.52606799999999987</v>
      </c>
      <c r="F25" s="1">
        <f t="shared" si="2"/>
        <v>0.99500669556730725</v>
      </c>
      <c r="G25">
        <f t="shared" si="3"/>
        <v>0.59700401734038433</v>
      </c>
      <c r="H25" s="1">
        <f>((C25-MIN($C$2:$C$34))/(MAX($C$2:$C$34)-MIN($C$2:$C$34)))</f>
        <v>0.96070726915520466</v>
      </c>
      <c r="I25">
        <f t="shared" si="4"/>
        <v>0.57642436149312282</v>
      </c>
    </row>
    <row r="26" spans="1:9" x14ac:dyDescent="0.2">
      <c r="A26">
        <v>25</v>
      </c>
      <c r="B26">
        <v>14400851</v>
      </c>
      <c r="C26">
        <v>0.93837999999999999</v>
      </c>
      <c r="D26" s="1">
        <f t="shared" si="0"/>
        <v>0.87675999999999998</v>
      </c>
      <c r="E26">
        <f t="shared" si="1"/>
        <v>0.52605599999999997</v>
      </c>
      <c r="F26" s="1">
        <f t="shared" si="2"/>
        <v>0.99498399872897691</v>
      </c>
      <c r="G26">
        <f t="shared" si="3"/>
        <v>0.59699039923738617</v>
      </c>
      <c r="H26" s="1">
        <f>((C26-MIN($C$2:$C$34))/(MAX($C$2:$C$34)-MIN($C$2:$C$34)))</f>
        <v>0.96052866583318364</v>
      </c>
      <c r="I26">
        <f t="shared" si="4"/>
        <v>0.57631719949991012</v>
      </c>
    </row>
    <row r="27" spans="1:9" x14ac:dyDescent="0.2">
      <c r="A27">
        <v>26</v>
      </c>
      <c r="B27">
        <v>14400604</v>
      </c>
      <c r="C27">
        <v>0.93820999999999999</v>
      </c>
      <c r="D27" s="1">
        <f t="shared" si="0"/>
        <v>0.87641999999999998</v>
      </c>
      <c r="E27">
        <f t="shared" si="1"/>
        <v>0.52585199999999999</v>
      </c>
      <c r="F27" s="1">
        <f t="shared" si="2"/>
        <v>0.99459815247735983</v>
      </c>
      <c r="G27">
        <f t="shared" si="3"/>
        <v>0.59675889148641592</v>
      </c>
      <c r="H27" s="1">
        <f>((C27-MIN($C$2:$C$34))/(MAX($C$2:$C$34)-MIN($C$2:$C$34)))</f>
        <v>0.95749240935881319</v>
      </c>
      <c r="I27">
        <f t="shared" si="4"/>
        <v>0.57449544561528787</v>
      </c>
    </row>
    <row r="28" spans="1:9" x14ac:dyDescent="0.2">
      <c r="A28">
        <v>27</v>
      </c>
      <c r="B28">
        <v>14401684</v>
      </c>
      <c r="C28">
        <v>0.93816999999999995</v>
      </c>
      <c r="D28" s="1">
        <f t="shared" si="0"/>
        <v>0.8763399999999999</v>
      </c>
      <c r="E28">
        <f t="shared" si="1"/>
        <v>0.52580399999999994</v>
      </c>
      <c r="F28" s="1">
        <f t="shared" si="2"/>
        <v>0.99450736512403803</v>
      </c>
      <c r="G28">
        <f t="shared" si="3"/>
        <v>0.59670441907442284</v>
      </c>
      <c r="H28" s="1">
        <f>((C28-MIN($C$2:$C$34))/(MAX($C$2:$C$34)-MIN($C$2:$C$34)))</f>
        <v>0.95677799607072533</v>
      </c>
      <c r="I28">
        <f t="shared" si="4"/>
        <v>0.57406679764243518</v>
      </c>
    </row>
    <row r="29" spans="1:9" x14ac:dyDescent="0.2">
      <c r="A29">
        <v>28</v>
      </c>
      <c r="B29">
        <v>14400597</v>
      </c>
      <c r="C29">
        <v>0.93813999999999997</v>
      </c>
      <c r="D29" s="1">
        <f t="shared" si="0"/>
        <v>0.87627999999999995</v>
      </c>
      <c r="E29">
        <f t="shared" si="1"/>
        <v>0.5257679999999999</v>
      </c>
      <c r="F29" s="1">
        <f t="shared" si="2"/>
        <v>0.9944392746090468</v>
      </c>
      <c r="G29">
        <f t="shared" si="3"/>
        <v>0.59666356476542803</v>
      </c>
      <c r="H29" s="1">
        <f>((C29-MIN($C$2:$C$34))/(MAX($C$2:$C$34)-MIN($C$2:$C$34)))</f>
        <v>0.95624218610466039</v>
      </c>
      <c r="I29">
        <f t="shared" si="4"/>
        <v>0.57374531166279619</v>
      </c>
    </row>
    <row r="30" spans="1:9" x14ac:dyDescent="0.2">
      <c r="A30">
        <v>29</v>
      </c>
      <c r="B30">
        <v>14406558</v>
      </c>
      <c r="C30">
        <v>0.93779000000000001</v>
      </c>
      <c r="D30" s="1">
        <f t="shared" si="0"/>
        <v>0.87558000000000002</v>
      </c>
      <c r="E30">
        <f t="shared" si="1"/>
        <v>0.52534800000000004</v>
      </c>
      <c r="F30" s="1">
        <f t="shared" si="2"/>
        <v>0.99364488526748218</v>
      </c>
      <c r="G30">
        <f t="shared" si="3"/>
        <v>0.59618693116048926</v>
      </c>
      <c r="H30" s="1">
        <f>((C30-MIN($C$2:$C$34))/(MAX($C$2:$C$34)-MIN($C$2:$C$34)))</f>
        <v>0.94999106983389847</v>
      </c>
      <c r="I30">
        <f t="shared" si="4"/>
        <v>0.56999464190033911</v>
      </c>
    </row>
    <row r="31" spans="1:9" x14ac:dyDescent="0.2">
      <c r="A31">
        <v>30</v>
      </c>
      <c r="B31">
        <v>14401637</v>
      </c>
      <c r="C31">
        <v>0.93772999999999995</v>
      </c>
      <c r="D31" s="1">
        <f t="shared" si="0"/>
        <v>0.8754599999999999</v>
      </c>
      <c r="E31">
        <f t="shared" si="1"/>
        <v>0.52527599999999997</v>
      </c>
      <c r="F31" s="1">
        <f t="shared" si="2"/>
        <v>0.99350870423749948</v>
      </c>
      <c r="G31">
        <f t="shared" si="3"/>
        <v>0.59610522254249965</v>
      </c>
      <c r="H31" s="1">
        <f>((C31-MIN($C$2:$C$34))/(MAX($C$2:$C$34)-MIN($C$2:$C$34)))</f>
        <v>0.94891944990176669</v>
      </c>
      <c r="I31">
        <f t="shared" si="4"/>
        <v>0.56935166994106001</v>
      </c>
    </row>
    <row r="32" spans="1:9" x14ac:dyDescent="0.2">
      <c r="A32">
        <v>31</v>
      </c>
      <c r="B32">
        <v>14401965</v>
      </c>
      <c r="C32">
        <v>0.93771000000000004</v>
      </c>
      <c r="D32" s="1">
        <f t="shared" si="0"/>
        <v>0.87542000000000009</v>
      </c>
      <c r="E32">
        <f t="shared" si="1"/>
        <v>0.52525200000000005</v>
      </c>
      <c r="F32" s="1">
        <f t="shared" si="2"/>
        <v>0.99346331056083892</v>
      </c>
      <c r="G32">
        <f t="shared" si="3"/>
        <v>0.59607798633650333</v>
      </c>
      <c r="H32" s="1">
        <f>((C32-MIN($C$2:$C$34))/(MAX($C$2:$C$34)-MIN($C$2:$C$34)))</f>
        <v>0.94856224325772465</v>
      </c>
      <c r="I32">
        <f t="shared" si="4"/>
        <v>0.56913734595463472</v>
      </c>
    </row>
    <row r="33" spans="1:9" x14ac:dyDescent="0.2">
      <c r="A33">
        <v>32</v>
      </c>
      <c r="B33">
        <v>14400573</v>
      </c>
      <c r="C33">
        <v>0.93554000000000004</v>
      </c>
      <c r="D33" s="1">
        <f t="shared" si="0"/>
        <v>0.87108000000000008</v>
      </c>
      <c r="E33">
        <f t="shared" si="1"/>
        <v>0.522648</v>
      </c>
      <c r="F33" s="1">
        <f t="shared" si="2"/>
        <v>0.98853809664313763</v>
      </c>
      <c r="G33">
        <f t="shared" si="3"/>
        <v>0.5931228579858826</v>
      </c>
      <c r="H33" s="1">
        <f>((C33-MIN($C$2:$C$34))/(MAX($C$2:$C$34)-MIN($C$2:$C$34)))</f>
        <v>0.90980532237899625</v>
      </c>
      <c r="I33">
        <f t="shared" si="4"/>
        <v>0.54588319342739777</v>
      </c>
    </row>
    <row r="34" spans="1:9" x14ac:dyDescent="0.2">
      <c r="A34">
        <v>33</v>
      </c>
      <c r="B34">
        <v>14400550</v>
      </c>
      <c r="C34">
        <v>0.88460000000000005</v>
      </c>
      <c r="D34" s="1">
        <f t="shared" si="0"/>
        <v>0.76920000000000011</v>
      </c>
      <c r="E34">
        <f t="shared" si="1"/>
        <v>0.46152000000000004</v>
      </c>
      <c r="F34" s="1">
        <f t="shared" si="2"/>
        <v>0.87292040218797529</v>
      </c>
      <c r="G34">
        <f t="shared" si="3"/>
        <v>0.52375224131278519</v>
      </c>
      <c r="H34" s="1">
        <f>((C34-MIN($C$2:$C$34))/(MAX($C$2:$C$34)-MIN($C$2:$C$34)))</f>
        <v>0</v>
      </c>
      <c r="I34">
        <f t="shared" si="4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 Cordeiro Moreira</dc:creator>
  <cp:lastModifiedBy>Davi Cordeiro Moreira</cp:lastModifiedBy>
  <dcterms:created xsi:type="dcterms:W3CDTF">2025-12-01T14:20:49Z</dcterms:created>
  <dcterms:modified xsi:type="dcterms:W3CDTF">2025-12-02T14:06:34Z</dcterms:modified>
</cp:coreProperties>
</file>