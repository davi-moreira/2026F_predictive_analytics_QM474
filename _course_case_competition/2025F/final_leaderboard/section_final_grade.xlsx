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cordeir/Dropbox/academic/cursos/cursos-davi/predictive_analytics/2025F_predictive_analytics_purdue_MGMT474/_adm_stuff/_course_case_competition/final_leaderboard/"/>
    </mc:Choice>
  </mc:AlternateContent>
  <xr:revisionPtr revIDLastSave="0" documentId="13_ncr:1_{DA641FFB-602D-674F-8F5A-77EB58865E70}" xr6:coauthVersionLast="47" xr6:coauthVersionMax="47" xr10:uidLastSave="{00000000-0000-0000-0000-000000000000}"/>
  <bookViews>
    <workbookView xWindow="0" yWindow="740" windowWidth="30240" windowHeight="18900" activeTab="2" xr2:uid="{9B760A1C-5CE3-B041-9D3A-872054D49702}"/>
  </bookViews>
  <sheets>
    <sheet name="section_001" sheetId="1" r:id="rId1"/>
    <sheet name="section_002" sheetId="2" r:id="rId2"/>
    <sheet name="section_003" sheetId="3" r:id="rId3"/>
  </sheets>
  <definedNames>
    <definedName name="_xlnm._FilterDatabase" localSheetId="0" hidden="1">section_001!$A$1:$H$14</definedName>
    <definedName name="_xlnm._FilterDatabase" localSheetId="1" hidden="1">section_002!$A$1:$I$13</definedName>
    <definedName name="_xlnm._FilterDatabase" localSheetId="2" hidden="1">section_003!$A$1:$I$9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3" l="1"/>
  <c r="I13" i="2"/>
  <c r="I6" i="2"/>
  <c r="I5" i="1"/>
  <c r="I6" i="1"/>
  <c r="I9" i="1"/>
  <c r="I10" i="1"/>
  <c r="H14" i="1"/>
  <c r="H7" i="1"/>
  <c r="H13" i="1"/>
  <c r="H12" i="1"/>
  <c r="H3" i="1"/>
  <c r="H10" i="1"/>
  <c r="H4" i="1"/>
  <c r="H2" i="1"/>
  <c r="H11" i="1"/>
  <c r="H5" i="1"/>
  <c r="H6" i="1"/>
  <c r="H9" i="1"/>
  <c r="H8" i="1"/>
  <c r="H4" i="2"/>
  <c r="H9" i="2"/>
  <c r="H12" i="2"/>
  <c r="H3" i="2"/>
  <c r="H7" i="2"/>
  <c r="H5" i="2"/>
  <c r="H13" i="2"/>
  <c r="H11" i="2"/>
  <c r="H10" i="2"/>
  <c r="H8" i="2"/>
  <c r="H6" i="2"/>
  <c r="H2" i="2"/>
  <c r="H3" i="3"/>
  <c r="H5" i="3"/>
  <c r="H8" i="3"/>
  <c r="H2" i="3"/>
  <c r="H6" i="3"/>
  <c r="H7" i="3"/>
  <c r="H9" i="3"/>
  <c r="H4" i="3"/>
</calcChain>
</file>

<file path=xl/sharedStrings.xml><?xml version="1.0" encoding="utf-8"?>
<sst xmlns="http://schemas.openxmlformats.org/spreadsheetml/2006/main" count="93" uniqueCount="45">
  <si>
    <t>sec_rank</t>
  </si>
  <si>
    <t>Rank</t>
  </si>
  <si>
    <t>TeamId</t>
  </si>
  <si>
    <t>TeamName</t>
  </si>
  <si>
    <t>section</t>
  </si>
  <si>
    <t>LastSubmissionDate</t>
  </si>
  <si>
    <t>Score</t>
  </si>
  <si>
    <t>sec_001</t>
  </si>
  <si>
    <t>Group 31 - 001</t>
  </si>
  <si>
    <t>Group 12 001</t>
  </si>
  <si>
    <t>Group 11 – 001</t>
  </si>
  <si>
    <t>Group 10 - 001</t>
  </si>
  <si>
    <t>Grade</t>
  </si>
  <si>
    <t>Group 13 - 002</t>
  </si>
  <si>
    <t>sec_002</t>
  </si>
  <si>
    <t>Group 15 - 002</t>
  </si>
  <si>
    <t>Group 20 - 002</t>
  </si>
  <si>
    <t>Group 23 - 002</t>
  </si>
  <si>
    <t>Group 14 - 002</t>
  </si>
  <si>
    <t>Group 18 - 002</t>
  </si>
  <si>
    <t>Group 16 - 002</t>
  </si>
  <si>
    <t>Group 32 - 002</t>
  </si>
  <si>
    <t>Group 22 - 002</t>
  </si>
  <si>
    <t>Group 21 - 002</t>
  </si>
  <si>
    <t>Group 19 - 002</t>
  </si>
  <si>
    <t>Group 17 - 002</t>
  </si>
  <si>
    <t>Group 26 - 003</t>
  </si>
  <si>
    <t>sec_003</t>
  </si>
  <si>
    <t>Group 25 - 003</t>
  </si>
  <si>
    <t>Group 27 - 003</t>
  </si>
  <si>
    <t>Group 30 - 003</t>
  </si>
  <si>
    <t>Group 24 - 003</t>
  </si>
  <si>
    <t>Group 28 - 003</t>
  </si>
  <si>
    <t>Group 29 - 003</t>
  </si>
  <si>
    <t>Group 33 - 003</t>
  </si>
  <si>
    <t>Group 01 - 001</t>
  </si>
  <si>
    <t>Group 02 - 001</t>
  </si>
  <si>
    <t>Group 03 - 001</t>
  </si>
  <si>
    <t>Group 04 - 001</t>
  </si>
  <si>
    <t>Group 05 - 001</t>
  </si>
  <si>
    <t>Group 06 - 001</t>
  </si>
  <si>
    <t>Group 07 - 001</t>
  </si>
  <si>
    <t>Group 08 - 001</t>
  </si>
  <si>
    <t>Group 09 - 001</t>
  </si>
  <si>
    <t>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</si>
</sst>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7203F-3436-B14E-B3DE-A195291474E0}">
  <dimension ref="A1:I14"/>
  <sheetViews>
    <sheetView workbookViewId="0">
      <selection activeCell="I1" sqref="I1"/>
    </sheetView>
  </sheetViews>
  <sheetFormatPr baseColWidth="10" defaultRowHeight="16" x14ac:dyDescent="0.2"/>
  <cols>
    <col min="6" max="6" width="17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s="3" t="s">
        <v>44</v>
      </c>
    </row>
    <row r="2" spans="1:9" x14ac:dyDescent="0.2">
      <c r="A2">
        <v>9</v>
      </c>
      <c r="B2">
        <v>26</v>
      </c>
      <c r="C2">
        <v>14400604</v>
      </c>
      <c r="D2" t="s">
        <v>35</v>
      </c>
      <c r="E2" t="s">
        <v>7</v>
      </c>
      <c r="F2" s="1">
        <v>45991.847916666666</v>
      </c>
      <c r="G2">
        <v>0.93820999999999999</v>
      </c>
      <c r="H2" s="2">
        <f>((G2-0.5)/(MAX($G$2:$G$14)-0.5))*100</f>
        <v>99.459815247735989</v>
      </c>
    </row>
    <row r="3" spans="1:9" x14ac:dyDescent="0.2">
      <c r="A3">
        <v>6</v>
      </c>
      <c r="B3">
        <v>15</v>
      </c>
      <c r="C3">
        <v>14400570</v>
      </c>
      <c r="D3" t="s">
        <v>36</v>
      </c>
      <c r="E3" t="s">
        <v>7</v>
      </c>
      <c r="F3" s="1">
        <v>45991.898611111108</v>
      </c>
      <c r="G3">
        <v>0.93933</v>
      </c>
      <c r="H3" s="2">
        <f>((G3-0.5)/(MAX($G$2:$G$14)-0.5))*100</f>
        <v>99.714019837036687</v>
      </c>
    </row>
    <row r="4" spans="1:9" x14ac:dyDescent="0.2">
      <c r="A4">
        <v>8</v>
      </c>
      <c r="B4">
        <v>24</v>
      </c>
      <c r="C4">
        <v>14400499</v>
      </c>
      <c r="D4" t="s">
        <v>37</v>
      </c>
      <c r="E4" t="s">
        <v>7</v>
      </c>
      <c r="F4" s="1">
        <v>45991.790277777778</v>
      </c>
      <c r="G4">
        <v>0.93838999999999995</v>
      </c>
      <c r="H4" s="2">
        <f>((G4-0.5)/(MAX($G$2:$G$14)-0.5))*100</f>
        <v>99.500669556730728</v>
      </c>
    </row>
    <row r="5" spans="1:9" x14ac:dyDescent="0.2">
      <c r="A5">
        <v>11</v>
      </c>
      <c r="B5">
        <v>29</v>
      </c>
      <c r="C5">
        <v>14406558</v>
      </c>
      <c r="D5" t="s">
        <v>38</v>
      </c>
      <c r="E5" t="s">
        <v>7</v>
      </c>
      <c r="F5" s="1">
        <v>45957.165277777778</v>
      </c>
      <c r="G5">
        <v>0.93779000000000001</v>
      </c>
      <c r="H5" s="2">
        <f>((G5-0.5)/(MAX($G$2:$G$14)-0.5))*100</f>
        <v>99.364488526748218</v>
      </c>
      <c r="I5" s="2">
        <f>H5-30</f>
        <v>69.364488526748218</v>
      </c>
    </row>
    <row r="6" spans="1:9" x14ac:dyDescent="0.2">
      <c r="A6">
        <v>12</v>
      </c>
      <c r="B6">
        <v>32</v>
      </c>
      <c r="C6">
        <v>14400573</v>
      </c>
      <c r="D6" t="s">
        <v>39</v>
      </c>
      <c r="E6" t="s">
        <v>7</v>
      </c>
      <c r="F6" s="1">
        <v>45992.072916666664</v>
      </c>
      <c r="G6">
        <v>0.93554000000000004</v>
      </c>
      <c r="H6" s="2">
        <f>((G6-0.5)/(MAX($G$2:$G$14)-0.5))*100</f>
        <v>98.853809664313758</v>
      </c>
      <c r="I6" s="2">
        <f>H6-10</f>
        <v>88.853809664313758</v>
      </c>
    </row>
    <row r="7" spans="1:9" x14ac:dyDescent="0.2">
      <c r="A7">
        <v>3</v>
      </c>
      <c r="B7">
        <v>6</v>
      </c>
      <c r="C7">
        <v>14400566</v>
      </c>
      <c r="D7" t="s">
        <v>40</v>
      </c>
      <c r="E7" t="s">
        <v>7</v>
      </c>
      <c r="F7" s="1">
        <v>45992.180555555555</v>
      </c>
      <c r="G7">
        <v>0.94028999999999996</v>
      </c>
      <c r="H7" s="2">
        <f>((G7-0.5)/(MAX($G$2:$G$14)-0.5))*100</f>
        <v>99.931909485008717</v>
      </c>
    </row>
    <row r="8" spans="1:9" x14ac:dyDescent="0.2">
      <c r="A8">
        <v>1</v>
      </c>
      <c r="B8">
        <v>1</v>
      </c>
      <c r="C8">
        <v>14400543</v>
      </c>
      <c r="D8" t="s">
        <v>41</v>
      </c>
      <c r="E8" t="s">
        <v>7</v>
      </c>
      <c r="F8" s="1">
        <v>45992.140972222223</v>
      </c>
      <c r="G8">
        <v>0.94059000000000004</v>
      </c>
      <c r="H8" s="2">
        <f>((G8-0.5)/(MAX($G$2:$G$14)-0.5))*100</f>
        <v>100</v>
      </c>
    </row>
    <row r="9" spans="1:9" x14ac:dyDescent="0.2">
      <c r="A9">
        <v>13</v>
      </c>
      <c r="B9">
        <v>34</v>
      </c>
      <c r="C9">
        <v>14400550</v>
      </c>
      <c r="D9" t="s">
        <v>42</v>
      </c>
      <c r="E9" t="s">
        <v>7</v>
      </c>
      <c r="F9" s="1">
        <v>45992.111805555556</v>
      </c>
      <c r="G9">
        <v>0.88460000000000005</v>
      </c>
      <c r="H9" s="2">
        <f>((G9-0.5)/(MAX($G$2:$G$14)-0.5))*100</f>
        <v>87.292040218797524</v>
      </c>
      <c r="I9" s="2">
        <f>H9-30</f>
        <v>57.292040218797524</v>
      </c>
    </row>
    <row r="10" spans="1:9" x14ac:dyDescent="0.2">
      <c r="A10">
        <v>7</v>
      </c>
      <c r="B10">
        <v>21</v>
      </c>
      <c r="C10">
        <v>14400593</v>
      </c>
      <c r="D10" t="s">
        <v>43</v>
      </c>
      <c r="E10" t="s">
        <v>7</v>
      </c>
      <c r="F10" s="1">
        <v>45992.103472222225</v>
      </c>
      <c r="G10">
        <v>0.93871000000000004</v>
      </c>
      <c r="H10" s="2">
        <f>((G10-0.5)/(MAX($G$2:$G$14)-0.5))*100</f>
        <v>99.573299439388094</v>
      </c>
      <c r="I10" s="2">
        <f>H10-10</f>
        <v>89.573299439388094</v>
      </c>
    </row>
    <row r="11" spans="1:9" x14ac:dyDescent="0.2">
      <c r="A11">
        <v>10</v>
      </c>
      <c r="B11">
        <v>28</v>
      </c>
      <c r="C11">
        <v>14400597</v>
      </c>
      <c r="D11" t="s">
        <v>11</v>
      </c>
      <c r="E11" t="s">
        <v>7</v>
      </c>
      <c r="F11" s="1">
        <v>45992.145833333336</v>
      </c>
      <c r="G11">
        <v>0.93813999999999997</v>
      </c>
      <c r="H11" s="2">
        <f>((G11-0.5)/(MAX($G$2:$G$14)-0.5))*100</f>
        <v>99.443927460904675</v>
      </c>
    </row>
    <row r="12" spans="1:9" x14ac:dyDescent="0.2">
      <c r="A12">
        <v>5</v>
      </c>
      <c r="B12">
        <v>14</v>
      </c>
      <c r="C12">
        <v>14400529</v>
      </c>
      <c r="D12" t="s">
        <v>10</v>
      </c>
      <c r="E12" t="s">
        <v>7</v>
      </c>
      <c r="F12" s="1">
        <v>45992.012499999997</v>
      </c>
      <c r="G12">
        <v>0.93940000000000001</v>
      </c>
      <c r="H12" s="2">
        <f>((G12-0.5)/(MAX($G$2:$G$14)-0.5))*100</f>
        <v>99.729907623867987</v>
      </c>
    </row>
    <row r="13" spans="1:9" x14ac:dyDescent="0.2">
      <c r="A13">
        <v>4</v>
      </c>
      <c r="B13">
        <v>7</v>
      </c>
      <c r="C13">
        <v>14400568</v>
      </c>
      <c r="D13" t="s">
        <v>9</v>
      </c>
      <c r="E13" t="s">
        <v>7</v>
      </c>
      <c r="F13" s="1">
        <v>45991.79583333333</v>
      </c>
      <c r="G13">
        <v>0.94023999999999996</v>
      </c>
      <c r="H13" s="2">
        <f>((G13-0.5)/(MAX($G$2:$G$14)-0.5))*100</f>
        <v>99.920561065843515</v>
      </c>
    </row>
    <row r="14" spans="1:9" x14ac:dyDescent="0.2">
      <c r="A14">
        <v>2</v>
      </c>
      <c r="B14">
        <v>2</v>
      </c>
      <c r="C14">
        <v>14400576</v>
      </c>
      <c r="D14" t="s">
        <v>8</v>
      </c>
      <c r="E14" t="s">
        <v>7</v>
      </c>
      <c r="F14" s="1">
        <v>45981.857638888891</v>
      </c>
      <c r="G14">
        <v>0.94055999999999995</v>
      </c>
      <c r="H14" s="2">
        <f>((G14-0.5)/(MAX($G$2:$G$14)-0.5))*100</f>
        <v>99.993190948500853</v>
      </c>
    </row>
  </sheetData>
  <autoFilter ref="A1:H14" xr:uid="{A787203F-3436-B14E-B3DE-A195291474E0}">
    <sortState xmlns:xlrd2="http://schemas.microsoft.com/office/spreadsheetml/2017/richdata2" ref="A2:H14">
      <sortCondition ref="D1:D1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29F0-2A29-AC49-AFE6-3F2153A7E5FA}">
  <dimension ref="A1:I13"/>
  <sheetViews>
    <sheetView workbookViewId="0">
      <selection activeCell="I1" sqref="I1"/>
    </sheetView>
  </sheetViews>
  <sheetFormatPr baseColWidth="10" defaultRowHeight="16" x14ac:dyDescent="0.2"/>
  <cols>
    <col min="6" max="6" width="17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s="3" t="s">
        <v>44</v>
      </c>
    </row>
    <row r="2" spans="1:9" x14ac:dyDescent="0.2">
      <c r="A2">
        <v>1</v>
      </c>
      <c r="B2">
        <v>3</v>
      </c>
      <c r="C2">
        <v>14401681</v>
      </c>
      <c r="D2" t="s">
        <v>13</v>
      </c>
      <c r="E2" t="s">
        <v>14</v>
      </c>
      <c r="F2" s="1">
        <v>45981.998611111114</v>
      </c>
      <c r="G2">
        <v>0.94055</v>
      </c>
      <c r="H2" s="2">
        <f>((G2-0.5)/(MAX($G$2:$G$13)-0.5))*100</f>
        <v>100</v>
      </c>
    </row>
    <row r="3" spans="1:9" x14ac:dyDescent="0.2">
      <c r="A3">
        <v>5</v>
      </c>
      <c r="B3">
        <v>17</v>
      </c>
      <c r="C3">
        <v>14401698</v>
      </c>
      <c r="D3" t="s">
        <v>18</v>
      </c>
      <c r="E3" t="s">
        <v>14</v>
      </c>
      <c r="F3" s="1">
        <v>45992.134722222225</v>
      </c>
      <c r="G3">
        <v>0.93903000000000003</v>
      </c>
      <c r="H3" s="2">
        <f>((G3-0.5)/(MAX($G$2:$G$13)-0.5))*100</f>
        <v>99.65497673362843</v>
      </c>
    </row>
    <row r="4" spans="1:9" x14ac:dyDescent="0.2">
      <c r="A4">
        <v>2</v>
      </c>
      <c r="B4">
        <v>5</v>
      </c>
      <c r="C4">
        <v>14401702</v>
      </c>
      <c r="D4" t="s">
        <v>15</v>
      </c>
      <c r="E4" t="s">
        <v>14</v>
      </c>
      <c r="F4" s="1">
        <v>45989.875694444447</v>
      </c>
      <c r="G4">
        <v>0.94037000000000004</v>
      </c>
      <c r="H4" s="2">
        <f>((G4-0.5)/(MAX($G$2:$G$13)-0.5))*100</f>
        <v>99.959141981613897</v>
      </c>
    </row>
    <row r="5" spans="1:9" x14ac:dyDescent="0.2">
      <c r="A5">
        <v>7</v>
      </c>
      <c r="B5">
        <v>20</v>
      </c>
      <c r="C5">
        <v>14401656</v>
      </c>
      <c r="D5" t="s">
        <v>20</v>
      </c>
      <c r="E5" t="s">
        <v>14</v>
      </c>
      <c r="F5" s="1">
        <v>45967.729861111111</v>
      </c>
      <c r="G5">
        <v>0.93872999999999995</v>
      </c>
      <c r="H5" s="2">
        <f>((G5-0.5)/(MAX($G$2:$G$13)-0.5))*100</f>
        <v>99.58688003631822</v>
      </c>
    </row>
    <row r="6" spans="1:9" x14ac:dyDescent="0.2">
      <c r="A6">
        <v>12</v>
      </c>
      <c r="B6">
        <v>30</v>
      </c>
      <c r="C6">
        <v>14401637</v>
      </c>
      <c r="D6" t="s">
        <v>25</v>
      </c>
      <c r="E6" t="s">
        <v>14</v>
      </c>
      <c r="F6" s="1">
        <v>45992.143055555556</v>
      </c>
      <c r="G6">
        <v>0.93772999999999995</v>
      </c>
      <c r="H6" s="2">
        <f>((G6-0.5)/(MAX($G$2:$G$13)-0.5))*100</f>
        <v>99.3598910452843</v>
      </c>
      <c r="I6" s="2">
        <f>H6-10</f>
        <v>89.3598910452843</v>
      </c>
    </row>
    <row r="7" spans="1:9" x14ac:dyDescent="0.2">
      <c r="A7">
        <v>6</v>
      </c>
      <c r="B7">
        <v>18</v>
      </c>
      <c r="C7">
        <v>14401722</v>
      </c>
      <c r="D7" t="s">
        <v>19</v>
      </c>
      <c r="E7" t="s">
        <v>14</v>
      </c>
      <c r="F7" s="1">
        <v>45992.078472222223</v>
      </c>
      <c r="G7">
        <v>0.93903000000000003</v>
      </c>
      <c r="H7" s="2">
        <f>((G7-0.5)/(MAX($G$2:$G$13)-0.5))*100</f>
        <v>99.65497673362843</v>
      </c>
    </row>
    <row r="8" spans="1:9" x14ac:dyDescent="0.2">
      <c r="A8">
        <v>11</v>
      </c>
      <c r="B8">
        <v>27</v>
      </c>
      <c r="C8">
        <v>14401684</v>
      </c>
      <c r="D8" t="s">
        <v>24</v>
      </c>
      <c r="E8" t="s">
        <v>14</v>
      </c>
      <c r="F8" s="1">
        <v>45992.03125</v>
      </c>
      <c r="G8">
        <v>0.93816999999999995</v>
      </c>
      <c r="H8" s="2">
        <f>((G8-0.5)/(MAX($G$2:$G$13)-0.5))*100</f>
        <v>99.459766201339221</v>
      </c>
    </row>
    <row r="9" spans="1:9" x14ac:dyDescent="0.2">
      <c r="A9">
        <v>3</v>
      </c>
      <c r="B9">
        <v>11</v>
      </c>
      <c r="C9">
        <v>14401622</v>
      </c>
      <c r="D9" t="s">
        <v>16</v>
      </c>
      <c r="E9" t="s">
        <v>14</v>
      </c>
      <c r="F9" s="1">
        <v>45992.203472222223</v>
      </c>
      <c r="G9">
        <v>0.93960999999999995</v>
      </c>
      <c r="H9" s="2">
        <f>((G9-0.5)/(MAX($G$2:$G$13)-0.5))*100</f>
        <v>99.786630348428091</v>
      </c>
    </row>
    <row r="10" spans="1:9" x14ac:dyDescent="0.2">
      <c r="A10">
        <v>10</v>
      </c>
      <c r="B10">
        <v>25</v>
      </c>
      <c r="C10">
        <v>14400851</v>
      </c>
      <c r="D10" t="s">
        <v>23</v>
      </c>
      <c r="E10" t="s">
        <v>14</v>
      </c>
      <c r="F10" s="1">
        <v>45992.118750000001</v>
      </c>
      <c r="G10">
        <v>0.93837999999999999</v>
      </c>
      <c r="H10" s="2">
        <f>((G10-0.5)/(MAX($G$2:$G$13)-0.5))*100</f>
        <v>99.507433889456365</v>
      </c>
    </row>
    <row r="11" spans="1:9" x14ac:dyDescent="0.2">
      <c r="A11">
        <v>9</v>
      </c>
      <c r="B11">
        <v>23</v>
      </c>
      <c r="C11">
        <v>14401669</v>
      </c>
      <c r="D11" t="s">
        <v>22</v>
      </c>
      <c r="E11" t="s">
        <v>14</v>
      </c>
      <c r="F11" s="1">
        <v>45992.194444444445</v>
      </c>
      <c r="G11">
        <v>0.93849000000000005</v>
      </c>
      <c r="H11" s="2">
        <f>((G11-0.5)/(MAX($G$2:$G$13)-0.5))*100</f>
        <v>99.532402678470106</v>
      </c>
    </row>
    <row r="12" spans="1:9" x14ac:dyDescent="0.2">
      <c r="A12">
        <v>4</v>
      </c>
      <c r="B12">
        <v>13</v>
      </c>
      <c r="C12">
        <v>14401662</v>
      </c>
      <c r="D12" t="s">
        <v>17</v>
      </c>
      <c r="E12" t="s">
        <v>14</v>
      </c>
      <c r="F12" s="1">
        <v>45989.939583333333</v>
      </c>
      <c r="G12">
        <v>0.93940000000000001</v>
      </c>
      <c r="H12" s="2">
        <f>((G12-0.5)/(MAX($G$2:$G$13)-0.5))*100</f>
        <v>99.738962660310975</v>
      </c>
    </row>
    <row r="13" spans="1:9" x14ac:dyDescent="0.2">
      <c r="A13">
        <v>8</v>
      </c>
      <c r="B13">
        <v>22</v>
      </c>
      <c r="C13">
        <v>14401754</v>
      </c>
      <c r="D13" t="s">
        <v>21</v>
      </c>
      <c r="E13" t="s">
        <v>14</v>
      </c>
      <c r="F13" s="1">
        <v>45931.935416666667</v>
      </c>
      <c r="G13">
        <v>0.93859000000000004</v>
      </c>
      <c r="H13" s="2">
        <f>((G13-0.5)/(MAX($G$2:$G$13)-0.5))*100</f>
        <v>99.555101577573495</v>
      </c>
      <c r="I13" s="2">
        <f>H13-10</f>
        <v>89.555101577573495</v>
      </c>
    </row>
  </sheetData>
  <autoFilter ref="A1:I13" xr:uid="{3CEF29F0-2A29-AC49-AFE6-3F2153A7E5FA}">
    <sortState xmlns:xlrd2="http://schemas.microsoft.com/office/spreadsheetml/2017/richdata2" ref="A2:I13">
      <sortCondition ref="D1:D1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519C-9BAE-B64F-8A6D-DACEBB9000F7}">
  <dimension ref="A1:I9"/>
  <sheetViews>
    <sheetView tabSelected="1" workbookViewId="0">
      <selection activeCell="E10" sqref="E10"/>
    </sheetView>
  </sheetViews>
  <sheetFormatPr baseColWidth="10" defaultRowHeight="16" x14ac:dyDescent="0.2"/>
  <cols>
    <col min="6" max="6" width="17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s="3" t="s">
        <v>44</v>
      </c>
    </row>
    <row r="2" spans="1:9" x14ac:dyDescent="0.2">
      <c r="A2">
        <v>5</v>
      </c>
      <c r="B2">
        <v>12</v>
      </c>
      <c r="C2">
        <v>14401981</v>
      </c>
      <c r="D2" t="s">
        <v>31</v>
      </c>
      <c r="E2" t="s">
        <v>27</v>
      </c>
      <c r="F2" s="1">
        <v>45955.175000000003</v>
      </c>
      <c r="G2">
        <v>0.93944000000000005</v>
      </c>
      <c r="H2" s="2">
        <f>((G2-0.5)/(MAX($G$2:$G$9)-0.5))*100</f>
        <v>99.763893933890316</v>
      </c>
      <c r="I2" s="2"/>
    </row>
    <row r="3" spans="1:9" x14ac:dyDescent="0.2">
      <c r="A3">
        <v>2</v>
      </c>
      <c r="B3">
        <v>8</v>
      </c>
      <c r="C3">
        <v>14401837</v>
      </c>
      <c r="D3" t="s">
        <v>28</v>
      </c>
      <c r="E3" t="s">
        <v>27</v>
      </c>
      <c r="F3" s="1">
        <v>45992.163194444445</v>
      </c>
      <c r="G3">
        <v>0.93984000000000001</v>
      </c>
      <c r="H3" s="2">
        <f>((G3-0.5)/(MAX($G$2:$G$9)-0.5))*100</f>
        <v>99.854703959317121</v>
      </c>
      <c r="I3" s="2"/>
    </row>
    <row r="4" spans="1:9" x14ac:dyDescent="0.2">
      <c r="A4">
        <v>1</v>
      </c>
      <c r="B4">
        <v>4</v>
      </c>
      <c r="C4">
        <v>14401988</v>
      </c>
      <c r="D4" t="s">
        <v>26</v>
      </c>
      <c r="E4" t="s">
        <v>27</v>
      </c>
      <c r="F4" s="1">
        <v>45992.13958333333</v>
      </c>
      <c r="G4">
        <v>0.94047999999999998</v>
      </c>
      <c r="H4" s="2">
        <f>((G4-0.5)/(MAX($G$2:$G$9)-0.5))*100</f>
        <v>100</v>
      </c>
      <c r="I4" s="2"/>
    </row>
    <row r="5" spans="1:9" x14ac:dyDescent="0.2">
      <c r="A5">
        <v>3</v>
      </c>
      <c r="B5">
        <v>9</v>
      </c>
      <c r="C5">
        <v>14401973</v>
      </c>
      <c r="D5" t="s">
        <v>29</v>
      </c>
      <c r="E5" t="s">
        <v>27</v>
      </c>
      <c r="F5" s="1">
        <v>45992.206250000003</v>
      </c>
      <c r="G5">
        <v>0.93967999999999996</v>
      </c>
      <c r="H5" s="2">
        <f>((G5-0.5)/(MAX($G$2:$G$9)-0.5))*100</f>
        <v>99.81837994914639</v>
      </c>
      <c r="I5" s="2"/>
    </row>
    <row r="6" spans="1:9" x14ac:dyDescent="0.2">
      <c r="A6">
        <v>6</v>
      </c>
      <c r="B6">
        <v>16</v>
      </c>
      <c r="C6">
        <v>14401992</v>
      </c>
      <c r="D6" t="s">
        <v>32</v>
      </c>
      <c r="E6" t="s">
        <v>27</v>
      </c>
      <c r="F6" s="1">
        <v>45992.195138888892</v>
      </c>
      <c r="G6">
        <v>0.93930999999999998</v>
      </c>
      <c r="H6" s="2">
        <f>((G6-0.5)/(MAX($G$2:$G$9)-0.5))*100</f>
        <v>99.734380675626582</v>
      </c>
      <c r="I6" s="2"/>
    </row>
    <row r="7" spans="1:9" x14ac:dyDescent="0.2">
      <c r="A7">
        <v>7</v>
      </c>
      <c r="B7">
        <v>19</v>
      </c>
      <c r="C7">
        <v>14401934</v>
      </c>
      <c r="D7" t="s">
        <v>33</v>
      </c>
      <c r="E7" t="s">
        <v>27</v>
      </c>
      <c r="F7" s="1">
        <v>45992.200694444444</v>
      </c>
      <c r="G7">
        <v>0.93888000000000005</v>
      </c>
      <c r="H7" s="2">
        <f>((G7-0.5)/(MAX($G$2:$G$9)-0.5))*100</f>
        <v>99.63675989829278</v>
      </c>
      <c r="I7" s="2"/>
    </row>
    <row r="8" spans="1:9" x14ac:dyDescent="0.2">
      <c r="A8">
        <v>4</v>
      </c>
      <c r="B8">
        <v>10</v>
      </c>
      <c r="C8">
        <v>14401882</v>
      </c>
      <c r="D8" t="s">
        <v>30</v>
      </c>
      <c r="E8" t="s">
        <v>27</v>
      </c>
      <c r="F8" s="1">
        <v>45985.882638888892</v>
      </c>
      <c r="G8">
        <v>0.93964999999999999</v>
      </c>
      <c r="H8" s="2">
        <f>((G8-0.5)/(MAX($G$2:$G$9)-0.5))*100</f>
        <v>99.811569197239379</v>
      </c>
      <c r="I8" s="2"/>
    </row>
    <row r="9" spans="1:9" x14ac:dyDescent="0.2">
      <c r="A9">
        <v>8</v>
      </c>
      <c r="B9">
        <v>31</v>
      </c>
      <c r="C9">
        <v>14401965</v>
      </c>
      <c r="D9" t="s">
        <v>34</v>
      </c>
      <c r="E9" t="s">
        <v>27</v>
      </c>
      <c r="F9" s="1">
        <v>45973.893055555556</v>
      </c>
      <c r="G9">
        <v>0.93771000000000004</v>
      </c>
      <c r="H9" s="2">
        <f>((G9-0.5)/(MAX($G$2:$G$9)-0.5))*100</f>
        <v>99.371140573919376</v>
      </c>
      <c r="I9" s="2">
        <f>H9-10</f>
        <v>89.371140573919376</v>
      </c>
    </row>
  </sheetData>
  <autoFilter ref="A1:I9" xr:uid="{A0C7519C-9BAE-B64F-8A6D-DACEBB9000F7}">
    <sortState xmlns:xlrd2="http://schemas.microsoft.com/office/spreadsheetml/2017/richdata2" ref="A2:I9">
      <sortCondition ref="D1:D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section_001</vt:lpstr>
      <vt:lpstr>section_002</vt:lpstr>
      <vt:lpstr>section_003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Cordeiro Moreira</dc:creator>
  <cp:lastModifiedBy>Davi Cordeiro Moreira</cp:lastModifiedBy>
  <dcterms:created xsi:type="dcterms:W3CDTF">2025-12-08T19:31:21Z</dcterms:created>
  <dcterms:modified xsi:type="dcterms:W3CDTF">2025-12-17T14:50:18Z</dcterms:modified>
</cp:coreProperties>
</file>